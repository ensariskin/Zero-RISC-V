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sar\Tez\RV32I\doc\"/>
    </mc:Choice>
  </mc:AlternateContent>
  <xr:revisionPtr revIDLastSave="0" documentId="8_{59B346FA-E538-482A-B670-A3B36EA24FB1}" xr6:coauthVersionLast="47" xr6:coauthVersionMax="47" xr10:uidLastSave="{00000000-0000-0000-0000-000000000000}"/>
  <bookViews>
    <workbookView xWindow="-120" yWindow="-120" windowWidth="29040" windowHeight="15840" activeTab="2" xr2:uid="{D55CCC26-7E6E-4000-865C-980DBD09C66F}"/>
  </bookViews>
  <sheets>
    <sheet name="Basic Arithmetic" sheetId="1" r:id="rId1"/>
    <sheet name="Complex Arithmetic" sheetId="2" r:id="rId2"/>
    <sheet name="Basic Branch" sheetId="3" r:id="rId3"/>
    <sheet name="Complex Branch" sheetId="4" r:id="rId4"/>
    <sheet name="Basic Memory" sheetId="5" r:id="rId5"/>
    <sheet name="Combo Te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6" l="1"/>
  <c r="E3" i="6"/>
  <c r="E2" i="6"/>
  <c r="D4" i="5"/>
  <c r="D3" i="5"/>
  <c r="D2" i="5"/>
  <c r="E4" i="4"/>
  <c r="E3" i="4"/>
  <c r="E2" i="4"/>
  <c r="E4" i="3"/>
  <c r="E3" i="3"/>
  <c r="E2" i="3"/>
  <c r="D4" i="2"/>
  <c r="D3" i="2"/>
  <c r="D2" i="2"/>
  <c r="D4" i="1"/>
  <c r="D3" i="1"/>
  <c r="D2" i="1"/>
</calcChain>
</file>

<file path=xl/sharedStrings.xml><?xml version="1.0" encoding="utf-8"?>
<sst xmlns="http://schemas.openxmlformats.org/spreadsheetml/2006/main" count="47" uniqueCount="21">
  <si>
    <t>Active Pipe Number</t>
  </si>
  <si>
    <t>Execution Time</t>
  </si>
  <si>
    <t>Average IPC</t>
  </si>
  <si>
    <t>103300ns</t>
  </si>
  <si>
    <t>152850ns</t>
  </si>
  <si>
    <t>300906ns</t>
  </si>
  <si>
    <t>238176ns</t>
  </si>
  <si>
    <t>124346ns</t>
  </si>
  <si>
    <t>85135ns</t>
  </si>
  <si>
    <t>127915ns</t>
  </si>
  <si>
    <t>145616ns</t>
  </si>
  <si>
    <t>204545ns</t>
  </si>
  <si>
    <t>Prediction Accuracy</t>
  </si>
  <si>
    <t>545396ns</t>
  </si>
  <si>
    <t>Speedup</t>
  </si>
  <si>
    <t>139305ns</t>
  </si>
  <si>
    <t>158075ns</t>
  </si>
  <si>
    <t>BUG</t>
  </si>
  <si>
    <t>144955ns</t>
  </si>
  <si>
    <t>78795ns</t>
  </si>
  <si>
    <t>71845ns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</si>
</sst>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141C-E780-46ED-A9D7-6C6504B9C30E}">
  <dimension ref="A1:D4"/>
  <sheetViews>
    <sheetView workbookViewId="0">
      <selection activeCell="D1" sqref="D1:D4"/>
    </sheetView>
  </sheetViews>
  <sheetFormatPr defaultRowHeight="15" x14ac:dyDescent="0.25"/>
  <cols>
    <col min="1" max="1" width="18.5703125" style="2" customWidth="1"/>
    <col min="2" max="2" width="19.5703125" style="1" customWidth="1"/>
    <col min="3" max="3" width="16.7109375" style="1" customWidth="1"/>
    <col min="4" max="16384" width="9.140625" style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14</v>
      </c>
    </row>
    <row r="2" spans="1:4" x14ac:dyDescent="0.25">
      <c r="A2" s="2">
        <v>3</v>
      </c>
      <c r="B2" s="1" t="s">
        <v>3</v>
      </c>
      <c r="C2" s="1">
        <v>2.91</v>
      </c>
      <c r="D2" s="1">
        <f>C2/C4</f>
        <v>2.91</v>
      </c>
    </row>
    <row r="3" spans="1:4" x14ac:dyDescent="0.25">
      <c r="A3" s="2">
        <v>2</v>
      </c>
      <c r="B3" s="1" t="s">
        <v>4</v>
      </c>
      <c r="C3" s="1">
        <v>1.97</v>
      </c>
      <c r="D3" s="1">
        <f>C3/C4</f>
        <v>1.97</v>
      </c>
    </row>
    <row r="4" spans="1:4" x14ac:dyDescent="0.25">
      <c r="A4" s="2">
        <v>1</v>
      </c>
      <c r="B4" s="1" t="s">
        <v>5</v>
      </c>
      <c r="C4" s="1">
        <v>1</v>
      </c>
      <c r="D4" s="1">
        <f>C4/C4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8F86-D19D-4548-B96B-FAA94D842B4F}">
  <dimension ref="A1:D4"/>
  <sheetViews>
    <sheetView workbookViewId="0">
      <selection activeCell="D1" sqref="D1:D4"/>
    </sheetView>
  </sheetViews>
  <sheetFormatPr defaultRowHeight="15" x14ac:dyDescent="0.25"/>
  <cols>
    <col min="1" max="1" width="19.42578125" customWidth="1"/>
    <col min="2" max="2" width="18" customWidth="1"/>
    <col min="3" max="3" width="17.57031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14</v>
      </c>
    </row>
    <row r="2" spans="1:4" x14ac:dyDescent="0.25">
      <c r="A2" s="2">
        <v>3</v>
      </c>
      <c r="B2" s="1" t="s">
        <v>8</v>
      </c>
      <c r="C2" s="1">
        <v>2.79</v>
      </c>
      <c r="D2" s="1">
        <f>C2/C4</f>
        <v>2.79</v>
      </c>
    </row>
    <row r="3" spans="1:4" x14ac:dyDescent="0.25">
      <c r="A3" s="2">
        <v>2</v>
      </c>
      <c r="B3" s="1" t="s">
        <v>7</v>
      </c>
      <c r="C3" s="1">
        <v>1.91</v>
      </c>
      <c r="D3" s="1">
        <f>C3/C4</f>
        <v>1.91</v>
      </c>
    </row>
    <row r="4" spans="1:4" x14ac:dyDescent="0.25">
      <c r="A4" s="2">
        <v>1</v>
      </c>
      <c r="B4" s="1" t="s">
        <v>6</v>
      </c>
      <c r="C4" s="1">
        <v>1</v>
      </c>
      <c r="D4" s="1">
        <f>C4/C4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D4CF-6E81-465E-A021-2DD45643A22B}">
  <dimension ref="A1:E4"/>
  <sheetViews>
    <sheetView tabSelected="1" workbookViewId="0">
      <selection activeCell="G20" sqref="G20"/>
    </sheetView>
  </sheetViews>
  <sheetFormatPr defaultRowHeight="15" x14ac:dyDescent="0.25"/>
  <cols>
    <col min="1" max="1" width="19.28515625" customWidth="1"/>
    <col min="2" max="2" width="14.5703125" customWidth="1"/>
    <col min="3" max="3" width="15.28515625" customWidth="1"/>
    <col min="4" max="4" width="20.42578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t="s">
        <v>12</v>
      </c>
      <c r="E1" s="1" t="s">
        <v>14</v>
      </c>
    </row>
    <row r="2" spans="1:5" x14ac:dyDescent="0.25">
      <c r="A2" s="2">
        <v>3</v>
      </c>
      <c r="B2" s="1" t="s">
        <v>9</v>
      </c>
      <c r="C2" s="1">
        <v>1.1299999999999999</v>
      </c>
      <c r="D2" s="3">
        <v>0.31929999999999997</v>
      </c>
      <c r="E2" s="1">
        <f>C2/C4</f>
        <v>1.6142857142857143</v>
      </c>
    </row>
    <row r="3" spans="1:5" x14ac:dyDescent="0.25">
      <c r="A3" s="2">
        <v>2</v>
      </c>
      <c r="B3" s="1" t="s">
        <v>10</v>
      </c>
      <c r="C3" s="1">
        <v>0.99</v>
      </c>
      <c r="D3" s="3">
        <v>0.38119999999999998</v>
      </c>
      <c r="E3" s="1">
        <f>C3/C4</f>
        <v>1.4142857142857144</v>
      </c>
    </row>
    <row r="4" spans="1:5" x14ac:dyDescent="0.25">
      <c r="A4" s="2">
        <v>1</v>
      </c>
      <c r="B4" s="1" t="s">
        <v>11</v>
      </c>
      <c r="C4" s="1">
        <v>0.7</v>
      </c>
      <c r="D4" s="4">
        <v>0.51</v>
      </c>
      <c r="E4" s="1">
        <f>C4/C4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F3D8-F026-4CEE-A698-D190142A26D9}">
  <dimension ref="A1:E4"/>
  <sheetViews>
    <sheetView workbookViewId="0">
      <selection sqref="A1:E4"/>
    </sheetView>
  </sheetViews>
  <sheetFormatPr defaultRowHeight="15" x14ac:dyDescent="0.25"/>
  <cols>
    <col min="1" max="1" width="18.28515625" bestFit="1" customWidth="1"/>
    <col min="2" max="2" width="14.28515625" bestFit="1" customWidth="1"/>
    <col min="3" max="3" width="11.140625" bestFit="1" customWidth="1"/>
    <col min="4" max="4" width="20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t="s">
        <v>12</v>
      </c>
      <c r="E1" s="1" t="s">
        <v>14</v>
      </c>
    </row>
    <row r="2" spans="1:5" x14ac:dyDescent="0.25">
      <c r="A2" s="2">
        <v>3</v>
      </c>
      <c r="B2" s="1" t="s">
        <v>9</v>
      </c>
      <c r="C2" s="1">
        <v>2.16</v>
      </c>
      <c r="D2" s="3">
        <v>0.36</v>
      </c>
      <c r="E2" s="1">
        <f>C2/C4</f>
        <v>2.3225806451612905</v>
      </c>
    </row>
    <row r="3" spans="1:5" x14ac:dyDescent="0.25">
      <c r="A3" s="2">
        <v>2</v>
      </c>
      <c r="B3" s="1" t="s">
        <v>10</v>
      </c>
      <c r="C3" s="1">
        <v>1.62</v>
      </c>
      <c r="D3" s="3">
        <v>0.44800000000000001</v>
      </c>
      <c r="E3" s="1">
        <f>C3/C4</f>
        <v>1.7419354838709677</v>
      </c>
    </row>
    <row r="4" spans="1:5" x14ac:dyDescent="0.25">
      <c r="A4" s="2">
        <v>1</v>
      </c>
      <c r="B4" s="1" t="s">
        <v>13</v>
      </c>
      <c r="C4" s="1">
        <v>0.93</v>
      </c>
      <c r="D4" s="4">
        <v>0.61839999999999995</v>
      </c>
      <c r="E4" s="1">
        <f>C4/C4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9765-2806-44C5-B797-FCF040EA5DE6}">
  <dimension ref="A1:E4"/>
  <sheetViews>
    <sheetView workbookViewId="0">
      <selection activeCell="J10" sqref="J10"/>
    </sheetView>
  </sheetViews>
  <sheetFormatPr defaultRowHeight="15" x14ac:dyDescent="0.25"/>
  <cols>
    <col min="1" max="1" width="18.28515625" bestFit="1" customWidth="1"/>
    <col min="2" max="2" width="14.28515625" bestFit="1" customWidth="1"/>
    <col min="3" max="3" width="11.140625" bestFit="1" customWidth="1"/>
    <col min="4" max="4" width="8.570312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14</v>
      </c>
    </row>
    <row r="2" spans="1:5" x14ac:dyDescent="0.25">
      <c r="A2" s="2">
        <v>3</v>
      </c>
      <c r="B2" s="1" t="s">
        <v>15</v>
      </c>
      <c r="C2" s="1">
        <v>1.82</v>
      </c>
      <c r="D2" s="1">
        <f>C2/C4</f>
        <v>1.8571428571428572</v>
      </c>
      <c r="E2" s="5" t="s">
        <v>17</v>
      </c>
    </row>
    <row r="3" spans="1:5" x14ac:dyDescent="0.25">
      <c r="A3" s="2">
        <v>2</v>
      </c>
      <c r="B3" s="1" t="s">
        <v>16</v>
      </c>
      <c r="C3" s="1">
        <v>1.64</v>
      </c>
      <c r="D3" s="1">
        <f>C3/C4</f>
        <v>1.6734693877551019</v>
      </c>
      <c r="E3" s="5" t="s">
        <v>17</v>
      </c>
    </row>
    <row r="4" spans="1:5" x14ac:dyDescent="0.25">
      <c r="A4" s="2">
        <v>1</v>
      </c>
      <c r="B4" s="1" t="s">
        <v>13</v>
      </c>
      <c r="C4" s="1">
        <v>0.98</v>
      </c>
      <c r="D4" s="1">
        <f>C4/C4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60BA-E43C-4F38-8ECE-561980B4BF2A}">
  <dimension ref="A1:E4"/>
  <sheetViews>
    <sheetView workbookViewId="0">
      <selection activeCell="B3" sqref="B3"/>
    </sheetView>
  </sheetViews>
  <sheetFormatPr defaultRowHeight="15" x14ac:dyDescent="0.25"/>
  <cols>
    <col min="1" max="1" width="18.28515625" bestFit="1" customWidth="1"/>
    <col min="2" max="2" width="14.28515625" bestFit="1" customWidth="1"/>
    <col min="3" max="3" width="11.140625" bestFit="1" customWidth="1"/>
    <col min="4" max="4" width="18.7109375" bestFit="1" customWidth="1"/>
    <col min="5" max="5" width="8.570312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t="s">
        <v>12</v>
      </c>
      <c r="E1" s="1" t="s">
        <v>14</v>
      </c>
    </row>
    <row r="2" spans="1:5" x14ac:dyDescent="0.25">
      <c r="A2" s="2">
        <v>3</v>
      </c>
      <c r="B2" s="1" t="s">
        <v>20</v>
      </c>
      <c r="C2" s="1">
        <v>1.32</v>
      </c>
      <c r="D2" s="3">
        <v>0.2712</v>
      </c>
      <c r="E2" s="1">
        <f>C2/C4</f>
        <v>1.5903614457831328</v>
      </c>
    </row>
    <row r="3" spans="1:5" x14ac:dyDescent="0.25">
      <c r="A3" s="2">
        <v>2</v>
      </c>
      <c r="B3" s="1" t="s">
        <v>19</v>
      </c>
      <c r="C3" s="1">
        <v>1.24</v>
      </c>
      <c r="D3" s="3">
        <v>0.33789999999999998</v>
      </c>
      <c r="E3" s="1">
        <f>C3/C4</f>
        <v>1.493975903614458</v>
      </c>
    </row>
    <row r="4" spans="1:5" x14ac:dyDescent="0.25">
      <c r="A4" s="2">
        <v>1</v>
      </c>
      <c r="B4" s="1" t="s">
        <v>18</v>
      </c>
      <c r="C4" s="1">
        <v>0.83</v>
      </c>
      <c r="D4" s="4">
        <v>0.47389999999999999</v>
      </c>
      <c r="E4" s="1">
        <f>C4/C4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Arithmetic</vt:lpstr>
      <vt:lpstr>Complex Arithmetic</vt:lpstr>
      <vt:lpstr>Basic Branch</vt:lpstr>
      <vt:lpstr>Complex Branch</vt:lpstr>
      <vt:lpstr>Basic Memory</vt:lpstr>
      <vt:lpstr>Combo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Ensar Işkın</dc:creator>
  <cp:lastModifiedBy>Mustafa Ensar Işkın</cp:lastModifiedBy>
  <dcterms:created xsi:type="dcterms:W3CDTF">2025-11-11T19:00:20Z</dcterms:created>
  <dcterms:modified xsi:type="dcterms:W3CDTF">2025-11-11T23:18:03Z</dcterms:modified>
</cp:coreProperties>
</file>